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 firstSheet="1" activeTab="3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8" sheetId="8" r:id="rId6"/>
    <sheet name="dataset" sheetId="1" r:id="rId7"/>
    <sheet name="Dashboard" sheetId="9" r:id="rId8"/>
  </sheets>
  <calcPr calcId="191029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<sst xmlns="http://schemas.openxmlformats.org/spreadsheetml/2006/main" count="67" uniqueCount="24">
  <si>
    <t>Date</t>
  </si>
  <si>
    <t>Sum of New Cases</t>
  </si>
  <si>
    <t>Grand Total</t>
  </si>
  <si>
    <t>State</t>
  </si>
  <si>
    <t>Maharashtra</t>
  </si>
  <si>
    <t>Karnataka</t>
  </si>
  <si>
    <t>Delhi</t>
  </si>
  <si>
    <t>Sum of Recovery Rate</t>
  </si>
  <si>
    <t>Sum of Death Rate</t>
  </si>
  <si>
    <t>Week Number</t>
  </si>
  <si>
    <t>Sum of Positivity Rate</t>
  </si>
  <si>
    <t>New Cases</t>
  </si>
  <si>
    <t>Recovered</t>
  </si>
  <si>
    <t>Deaths</t>
  </si>
  <si>
    <t>Active Cases</t>
  </si>
  <si>
    <t>Tests Conducted</t>
  </si>
  <si>
    <t>Recovery Rate</t>
  </si>
  <si>
    <t>Death Rate</t>
  </si>
  <si>
    <t>Positivity Rate</t>
  </si>
  <si>
    <t>TOTAL CASES</t>
  </si>
  <si>
    <t>TOTAL RECOVERED</t>
  </si>
  <si>
    <t>TOTAL DEATHS</t>
  </si>
  <si>
    <t>AVERAGE RECOVERY RATE</t>
  </si>
  <si>
    <t>AVERAGE DEATH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</si>
</sst>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%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8" fontId="0" fillId="3" borderId="0" xfId="0" applyNumberForma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0" fontId="0" fillId="0" borderId="0" xfId="0" applyNumberFormat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  <xf numFmtId="10" fontId="3" fillId="0" borderId="1" xfId="0" applyNumberFormat="1" applyFont="1" applyBorder="1">
      <alignment vertical="center"/>
    </xf>
    <xf numFmtId="179" fontId="0" fillId="0" borderId="0" xfId="0" applyNumberFormat="1">
      <alignment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0" fontId="3" fillId="0" borderId="1" xfId="0" applyFont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5"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numFmt numFmtId="178" formatCode="m/d/yyyy;@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alignment horizontal="center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/>
    <dxf>
      <numFmt numFmtId="179" formatCode="0.0%"/>
    </dxf>
    <dxf>
      <numFmt numFmtId="179" formatCode="0.0%"/>
    </dxf>
    <dxf>
      <numFmt numFmtId="179" formatCode="0.0%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numFmt numFmtId="10" formatCode="0.00%"/>
    </dxf>
    <dxf>
      <numFmt numFmtId="10" formatCode="0.00%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/>
    </dxf>
    <dxf>
      <font>
        <sz val="12"/>
      </font>
    </dxf>
    <dxf>
      <numFmt numFmtId="10" formatCode="0.00%"/>
    </dxf>
    <dxf>
      <numFmt numFmtId="10" formatCode="0.00%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44"/>
      <tableStyleElement type="totalRow" dxfId="43"/>
      <tableStyleElement type="firstRowStripe" dxfId="42"/>
      <tableStyleElement type="firstColumnStripe" dxfId="41"/>
      <tableStyleElement type="firstSubtotalRow" dxfId="40"/>
      <tableStyleElement type="secondSubtotalRow" dxfId="39"/>
      <tableStyleElement type="firstRowSubheading" dxfId="38"/>
      <tableStyleElement type="secondRowSubheading" dxfId="37"/>
      <tableStyleElement type="pageFieldLabels" dxfId="36"/>
      <tableStyleElement type="pageFieldValues" dxfId="35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pivotCacheDefinition" Target="pivotCache/pivotCacheDefinition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[COVID_Analysis_.xlsx]Sheet2!PivotTable1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Daily COVID Cases Trend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45474</c:v>
                </c:pt>
                <c:pt idx="1">
                  <c:v>45444</c:v>
                </c:pt>
                <c:pt idx="2">
                  <c:v>45413</c:v>
                </c:pt>
                <c:pt idx="3">
                  <c:v>45383</c:v>
                </c:pt>
                <c:pt idx="4">
                  <c:v>45352</c:v>
                </c:pt>
                <c:pt idx="5">
                  <c:v>45323</c:v>
                </c:pt>
                <c:pt idx="6">
                  <c:v>45292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14200</c:v>
                </c:pt>
                <c:pt idx="1">
                  <c:v>13200</c:v>
                </c:pt>
                <c:pt idx="2">
                  <c:v>13000</c:v>
                </c:pt>
                <c:pt idx="3">
                  <c:v>12100</c:v>
                </c:pt>
                <c:pt idx="4">
                  <c:v>11200</c:v>
                </c:pt>
                <c:pt idx="5">
                  <c:v>10200</c:v>
                </c:pt>
                <c:pt idx="6">
                  <c:v>10000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47576452"/>
        <c:axId val="897500292"/>
      </c:lineChart>
      <c:catAx>
        <c:axId val="9475764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500292"/>
        <c:crosses val="autoZero"/>
        <c:auto val="1"/>
        <c:lblAlgn val="ctr"/>
        <c:lblOffset val="100"/>
        <c:noMultiLvlLbl val="0"/>
      </c:catAx>
      <c:valAx>
        <c:axId val="8975002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576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aaf593-5fad-48e3-be16-6b1852fcf7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[COVID_Analysis_.xlsx]Sheet3!PivotTable2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State-wise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38500</c:v>
                </c:pt>
                <c:pt idx="1">
                  <c:v>19200</c:v>
                </c:pt>
                <c:pt idx="2">
                  <c:v>26200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91653607"/>
        <c:axId val="699454979"/>
      </c:barChart>
      <c:catAx>
        <c:axId val="5916536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454979"/>
        <c:crosses val="autoZero"/>
        <c:auto val="1"/>
        <c:lblAlgn val="ctr"/>
        <c:lblOffset val="100"/>
        <c:noMultiLvlLbl val="0"/>
      </c:catAx>
      <c:valAx>
        <c:axId val="6994549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65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09370-f863-48b1-ac4f-fda0c88dca1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[COVID_Analysis_.xlsx]Sheet4!PivotTable3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Recovery Rate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</c:strCache>
            </c:strRef>
          </c:cat>
          <c:val>
            <c:numRef>
              <c:f>Sheet4!$B$4:$B$7</c:f>
              <c:numCache>
                <c:formatCode>0.0%</c:formatCode>
                <c:ptCount val="3"/>
                <c:pt idx="0">
                  <c:v>6.49307644110276</c:v>
                </c:pt>
                <c:pt idx="1">
                  <c:v>6.47135281385281</c:v>
                </c:pt>
                <c:pt idx="2">
                  <c:v>6.54500681928379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f78625-283c-4efd-b29d-9398568238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[COVID_Analysis_.xlsx]Sheet5!PivotTable4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Death Rate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</c:strCache>
            </c:strRef>
          </c:cat>
          <c:val>
            <c:numRef>
              <c:f>Sheet5!$B$4:$B$7</c:f>
              <c:numCache>
                <c:formatCode>0.00%</c:formatCode>
                <c:ptCount val="3"/>
                <c:pt idx="0">
                  <c:v>0.121237207602339</c:v>
                </c:pt>
                <c:pt idx="1">
                  <c:v>0.113977543290043</c:v>
                </c:pt>
                <c:pt idx="2">
                  <c:v>0.114316251092252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41a0fa-c3f5-4a8f-86d2-3930caee28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19210526315789"/>
          <c:y val="0.00694444444444444"/>
          <c:w val="0.924131578947368"/>
          <c:h val="0.731805555555556"/>
        </c:manualLayout>
      </c:layout>
      <c:lineChart>
        <c:grouping val="standar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085725"/>
        <c:axId val="435524772"/>
      </c:lineChart>
      <c:catAx>
        <c:axId val="8340857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524772"/>
        <c:crosses val="autoZero"/>
        <c:auto val="1"/>
        <c:lblAlgn val="ctr"/>
        <c:lblOffset val="100"/>
        <c:noMultiLvlLbl val="0"/>
      </c:catAx>
      <c:valAx>
        <c:axId val="4355247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0857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b4a641e-e9cb-4ed9-8adc-2251241ec2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51282536"/>
        <c:axId val="29691929"/>
      </c:barChart>
      <c:catAx>
        <c:axId val="55128253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691929"/>
        <c:crosses val="autoZero"/>
        <c:auto val="1"/>
        <c:lblAlgn val="ctr"/>
        <c:lblOffset val="100"/>
        <c:noMultiLvlLbl val="0"/>
      </c:catAx>
      <c:valAx>
        <c:axId val="2969192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1282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337d732-914e-4bb7-a699-cce7a360ed4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Daily COVID Cases Trend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Sheet2!$A$4:$A$11</c:f>
              <c:strCache>
                <c:ptCount val="7"/>
                <c:pt idx="0">
                  <c:v>45474</c:v>
                </c:pt>
                <c:pt idx="1">
                  <c:v>45444</c:v>
                </c:pt>
                <c:pt idx="2">
                  <c:v>45413</c:v>
                </c:pt>
                <c:pt idx="3">
                  <c:v>45383</c:v>
                </c:pt>
                <c:pt idx="4">
                  <c:v>45352</c:v>
                </c:pt>
                <c:pt idx="5">
                  <c:v>45323</c:v>
                </c:pt>
                <c:pt idx="6">
                  <c:v>45292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14200</c:v>
                </c:pt>
                <c:pt idx="1">
                  <c:v>13200</c:v>
                </c:pt>
                <c:pt idx="2">
                  <c:v>13000</c:v>
                </c:pt>
                <c:pt idx="3">
                  <c:v>12100</c:v>
                </c:pt>
                <c:pt idx="4">
                  <c:v>11200</c:v>
                </c:pt>
                <c:pt idx="5">
                  <c:v>10200</c:v>
                </c:pt>
                <c:pt idx="6">
                  <c:v>10000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1"/>
          <c:showBubbleSize val="1"/>
        </c:dLbls>
        <c:marker val="0"/>
        <c:smooth val="0"/>
        <c:axId val="947576452"/>
        <c:axId val="897500292"/>
      </c:lineChart>
      <c:catAx>
        <c:axId val="9475764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7500292"/>
        <c:crosses val="autoZero"/>
        <c:auto val="1"/>
        <c:lblAlgn val="ctr"/>
        <c:lblOffset val="100"/>
        <c:noMultiLvlLbl val="0"/>
      </c:catAx>
      <c:valAx>
        <c:axId val="8975002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5764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1aaf593-5fad-48e3-be16-6b1852fcf7d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[COVID_Analysis_.xlsx]Sheet3!PivotTable2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State-wise Cases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Sheet3!$A$4:$A$7</c:f>
              <c:strCache>
                <c:ptCount val="3"/>
                <c:pt idx="0">
                  <c:v>Maharashtra</c:v>
                </c:pt>
                <c:pt idx="1">
                  <c:v>Karnataka</c:v>
                </c:pt>
                <c:pt idx="2">
                  <c:v>Delhi</c:v>
                </c:pt>
              </c:strCache>
            </c:strRef>
          </c:cat>
          <c:val>
            <c:numRef>
              <c:f>Sheet3!$B$4:$B$7</c:f>
              <c:numCache>
                <c:formatCode>General</c:formatCode>
                <c:ptCount val="3"/>
                <c:pt idx="0">
                  <c:v>38500</c:v>
                </c:pt>
                <c:pt idx="1">
                  <c:v>19200</c:v>
                </c:pt>
                <c:pt idx="2">
                  <c:v>26200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91653607"/>
        <c:axId val="699454979"/>
      </c:barChart>
      <c:catAx>
        <c:axId val="59165360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454979"/>
        <c:crosses val="autoZero"/>
        <c:auto val="1"/>
        <c:lblAlgn val="ctr"/>
        <c:lblOffset val="100"/>
        <c:noMultiLvlLbl val="0"/>
      </c:catAx>
      <c:valAx>
        <c:axId val="6994549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1653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ad09370-f863-48b1-ac4f-fda0c88dca1c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[COVID_Analysis_.xlsx]Sheet4!PivotTable3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Recovery Rate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Sheet4!$A$4:$A$7</c:f>
              <c:strCache>
                <c:ptCount val="3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</c:strCache>
            </c:strRef>
          </c:cat>
          <c:val>
            <c:numRef>
              <c:f>Sheet4!$B$4:$B$7</c:f>
              <c:numCache>
                <c:formatCode>0.0%</c:formatCode>
                <c:ptCount val="3"/>
                <c:pt idx="0">
                  <c:v>6.49307644110276</c:v>
                </c:pt>
                <c:pt idx="1">
                  <c:v>6.47135281385281</c:v>
                </c:pt>
                <c:pt idx="2">
                  <c:v>6.54500681928379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ef78625-283c-4efd-b29d-9398568238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[COVID_Analysis_.xlsx]Sheet5!PivotTable4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Death Rate by State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Sheet5!$A$4:$A$7</c:f>
              <c:strCache>
                <c:ptCount val="3"/>
                <c:pt idx="0">
                  <c:v>Delhi</c:v>
                </c:pt>
                <c:pt idx="1">
                  <c:v>Karnataka</c:v>
                </c:pt>
                <c:pt idx="2">
                  <c:v>Maharashtra</c:v>
                </c:pt>
              </c:strCache>
            </c:strRef>
          </c:cat>
          <c:val>
            <c:numRef>
              <c:f>Sheet5!$B$4:$B$7</c:f>
              <c:numCache>
                <c:formatCode>0.00%</c:formatCode>
                <c:ptCount val="3"/>
                <c:pt idx="0">
                  <c:v>0.121237207602339</c:v>
                </c:pt>
                <c:pt idx="1">
                  <c:v>0.113977543290043</c:v>
                </c:pt>
                <c:pt idx="2">
                  <c:v>0.114316251092252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41a0fa-c3f5-4a8f-86d2-3930caee280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19210526315789"/>
          <c:y val="0.00694444444444444"/>
          <c:w val="0.924131578947368"/>
          <c:h val="0.731805555555556"/>
        </c:manualLayout>
      </c:layout>
      <c:lineChart>
        <c:grouping val="standard"/>
        <c:varyColors val="0"/>
        <c:ser>
          <c:idx val="0"/>
          <c:order val="0"/>
          <c:tx>
            <c:strRef>
              <c:f>"Series 1"</c:f>
              <c:strCache>
                <c:ptCount val="1"/>
                <c:pt idx="0">
                  <c:v>Series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{4.3,2.5,3.5,4.5}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"Series 2"</c:f>
              <c:strCache>
                <c:ptCount val="1"/>
                <c:pt idx="0">
                  <c:v>Series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{2.4,4.4,1.8,2.8}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"Series 3"</c:f>
              <c:strCache>
                <c:ptCount val="1"/>
                <c:pt idx="0">
                  <c:v>Series 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{"Category 1","Category 2","Category 3","Category 4"}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{2,2,3,5}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085725"/>
        <c:axId val="435524772"/>
      </c:lineChart>
      <c:catAx>
        <c:axId val="8340857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5524772"/>
        <c:crosses val="autoZero"/>
        <c:auto val="1"/>
        <c:lblAlgn val="ctr"/>
        <c:lblOffset val="100"/>
        <c:noMultiLvlLbl val="0"/>
      </c:catAx>
      <c:valAx>
        <c:axId val="4355247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08572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b4a641e-e9cb-4ed9-8adc-2251241ec20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2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25400</xdr:colOff>
      <xdr:row>2</xdr:row>
      <xdr:rowOff>30480</xdr:rowOff>
    </xdr:from>
    <xdr:to>
      <xdr:col>11</xdr:col>
      <xdr:colOff>27940</xdr:colOff>
      <xdr:row>21</xdr:row>
      <xdr:rowOff>91440</xdr:rowOff>
    </xdr:to>
    <xdr:graphicFrame>
      <xdr:nvGraphicFramePr>
        <xdr:cNvPr id="2" name="Chart 1"/>
        <xdr:cNvGraphicFramePr/>
      </xdr:nvGraphicFramePr>
      <xdr:xfrm>
        <a:off x="2052320" y="396240"/>
        <a:ext cx="5488940" cy="3535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</xdr:colOff>
      <xdr:row>1</xdr:row>
      <xdr:rowOff>172720</xdr:rowOff>
    </xdr:from>
    <xdr:to>
      <xdr:col>11</xdr:col>
      <xdr:colOff>551180</xdr:colOff>
      <xdr:row>19</xdr:row>
      <xdr:rowOff>12065</xdr:rowOff>
    </xdr:to>
    <xdr:graphicFrame>
      <xdr:nvGraphicFramePr>
        <xdr:cNvPr id="2" name="Chart 1"/>
        <xdr:cNvGraphicFramePr/>
      </xdr:nvGraphicFramePr>
      <xdr:xfrm>
        <a:off x="2125980" y="355600"/>
        <a:ext cx="5991860" cy="3207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45720</xdr:colOff>
      <xdr:row>2</xdr:row>
      <xdr:rowOff>7620</xdr:rowOff>
    </xdr:from>
    <xdr:to>
      <xdr:col>10</xdr:col>
      <xdr:colOff>193040</xdr:colOff>
      <xdr:row>21</xdr:row>
      <xdr:rowOff>30480</xdr:rowOff>
    </xdr:to>
    <xdr:graphicFrame>
      <xdr:nvGraphicFramePr>
        <xdr:cNvPr id="3" name="Chart 2"/>
        <xdr:cNvGraphicFramePr/>
      </xdr:nvGraphicFramePr>
      <xdr:xfrm>
        <a:off x="2369820" y="373380"/>
        <a:ext cx="5024120" cy="34975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30480</xdr:colOff>
      <xdr:row>2</xdr:row>
      <xdr:rowOff>7620</xdr:rowOff>
    </xdr:from>
    <xdr:to>
      <xdr:col>11</xdr:col>
      <xdr:colOff>382905</xdr:colOff>
      <xdr:row>22</xdr:row>
      <xdr:rowOff>129540</xdr:rowOff>
    </xdr:to>
    <xdr:graphicFrame>
      <xdr:nvGraphicFramePr>
        <xdr:cNvPr id="3" name="Chart 2"/>
        <xdr:cNvGraphicFramePr/>
      </xdr:nvGraphicFramePr>
      <xdr:xfrm>
        <a:off x="2209800" y="373380"/>
        <a:ext cx="5838825" cy="3855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91440</xdr:colOff>
      <xdr:row>2</xdr:row>
      <xdr:rowOff>20320</xdr:rowOff>
    </xdr:from>
    <xdr:to>
      <xdr:col>12</xdr:col>
      <xdr:colOff>337820</xdr:colOff>
      <xdr:row>24</xdr:row>
      <xdr:rowOff>111760</xdr:rowOff>
    </xdr:to>
    <xdr:graphicFrame>
      <xdr:nvGraphicFramePr>
        <xdr:cNvPr id="3" name="Chart 2"/>
        <xdr:cNvGraphicFramePr/>
      </xdr:nvGraphicFramePr>
      <xdr:xfrm>
        <a:off x="2430780" y="386080"/>
        <a:ext cx="6342380" cy="41148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53340</xdr:colOff>
      <xdr:row>2</xdr:row>
      <xdr:rowOff>12700</xdr:rowOff>
    </xdr:from>
    <xdr:to>
      <xdr:col>11</xdr:col>
      <xdr:colOff>443865</xdr:colOff>
      <xdr:row>21</xdr:row>
      <xdr:rowOff>127000</xdr:rowOff>
    </xdr:to>
    <xdr:graphicFrame>
      <xdr:nvGraphicFramePr>
        <xdr:cNvPr id="2" name="Chart 1"/>
        <xdr:cNvGraphicFramePr/>
      </xdr:nvGraphicFramePr>
      <xdr:xfrm>
        <a:off x="2362200" y="378460"/>
        <a:ext cx="5876925" cy="3589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</xdr:colOff>
      <xdr:row>5</xdr:row>
      <xdr:rowOff>15240</xdr:rowOff>
    </xdr:from>
    <xdr:to>
      <xdr:col>5</xdr:col>
      <xdr:colOff>247650</xdr:colOff>
      <xdr:row>25</xdr:row>
      <xdr:rowOff>120650</xdr:rowOff>
    </xdr:to>
    <xdr:graphicFrame>
      <xdr:nvGraphicFramePr>
        <xdr:cNvPr id="2" name="Chart 1"/>
        <xdr:cNvGraphicFramePr/>
      </xdr:nvGraphicFramePr>
      <xdr:xfrm>
        <a:off x="7620" y="1564640"/>
        <a:ext cx="5307330" cy="37630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0</xdr:row>
      <xdr:rowOff>7620</xdr:rowOff>
    </xdr:from>
    <xdr:to>
      <xdr:col>11</xdr:col>
      <xdr:colOff>505460</xdr:colOff>
      <xdr:row>5</xdr:row>
      <xdr:rowOff>12065</xdr:rowOff>
    </xdr:to>
    <xdr:graphicFrame>
      <xdr:nvGraphicFramePr>
        <xdr:cNvPr id="3" name="Chart 2"/>
        <xdr:cNvGraphicFramePr/>
      </xdr:nvGraphicFramePr>
      <xdr:xfrm>
        <a:off x="3238500" y="7620"/>
        <a:ext cx="5991860" cy="15538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243840</xdr:colOff>
      <xdr:row>5</xdr:row>
      <xdr:rowOff>15240</xdr:rowOff>
    </xdr:from>
    <xdr:to>
      <xdr:col>11</xdr:col>
      <xdr:colOff>513715</xdr:colOff>
      <xdr:row>25</xdr:row>
      <xdr:rowOff>113665</xdr:rowOff>
    </xdr:to>
    <xdr:graphicFrame>
      <xdr:nvGraphicFramePr>
        <xdr:cNvPr id="4" name="Chart 3"/>
        <xdr:cNvGraphicFramePr/>
      </xdr:nvGraphicFramePr>
      <xdr:xfrm>
        <a:off x="5311140" y="1564640"/>
        <a:ext cx="3927475" cy="375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518160</xdr:colOff>
      <xdr:row>0</xdr:row>
      <xdr:rowOff>15240</xdr:rowOff>
    </xdr:from>
    <xdr:to>
      <xdr:col>19</xdr:col>
      <xdr:colOff>551180</xdr:colOff>
      <xdr:row>9</xdr:row>
      <xdr:rowOff>50800</xdr:rowOff>
    </xdr:to>
    <xdr:graphicFrame>
      <xdr:nvGraphicFramePr>
        <xdr:cNvPr id="5" name="Chart 4"/>
        <xdr:cNvGraphicFramePr/>
      </xdr:nvGraphicFramePr>
      <xdr:xfrm>
        <a:off x="9243060" y="15240"/>
        <a:ext cx="4909820" cy="2316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533400</xdr:colOff>
      <xdr:row>9</xdr:row>
      <xdr:rowOff>60960</xdr:rowOff>
    </xdr:from>
    <xdr:to>
      <xdr:col>19</xdr:col>
      <xdr:colOff>536575</xdr:colOff>
      <xdr:row>25</xdr:row>
      <xdr:rowOff>113665</xdr:rowOff>
    </xdr:to>
    <xdr:graphicFrame>
      <xdr:nvGraphicFramePr>
        <xdr:cNvPr id="6" name="Chart 5"/>
        <xdr:cNvGraphicFramePr/>
      </xdr:nvGraphicFramePr>
      <xdr:xfrm>
        <a:off x="9258300" y="2341880"/>
        <a:ext cx="4879975" cy="29787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60.7982175926" refreshedBy="ADMIN" recordCount="21">
  <cacheSource type="worksheet">
    <worksheetSource ref="A1:K22" sheet="dataset"/>
  </cacheSource>
  <cacheFields count="11">
    <cacheField name="Date" numFmtId="0">
      <sharedItems containsSemiMixedTypes="0" containsString="0" containsNumber="1" containsInteger="1" minValue="0" maxValue="45474" count="7">
        <n v="45292"/>
        <n v="45323"/>
        <n v="45352"/>
        <n v="45383"/>
        <n v="45413"/>
        <n v="45444"/>
        <n v="45474"/>
      </sharedItems>
    </cacheField>
    <cacheField name="State" numFmtId="0">
      <sharedItems count="3">
        <s v="Maharashtra"/>
        <s v="Delhi"/>
        <s v="Karnataka"/>
      </sharedItems>
    </cacheField>
    <cacheField name="New Cases" numFmtId="0">
      <sharedItems containsSemiMixedTypes="0" containsString="0" containsNumber="1" containsInteger="1" minValue="0" maxValue="6200" count="18">
        <n v="5000"/>
        <n v="3000"/>
        <n v="2000"/>
        <n v="4800"/>
        <n v="3200"/>
        <n v="2200"/>
        <n v="5200"/>
        <n v="3500"/>
        <n v="2500"/>
        <n v="5500"/>
        <n v="3800"/>
        <n v="2800"/>
        <n v="6000"/>
        <n v="4000"/>
        <n v="5800"/>
        <n v="4200"/>
        <n v="6200"/>
        <n v="4500"/>
      </sharedItems>
    </cacheField>
    <cacheField name="Recovered" numFmtId="0">
      <sharedItems containsSemiMixedTypes="0" containsString="0" containsNumber="1" containsInteger="1" minValue="0" maxValue="5800" count="19">
        <n v="4500"/>
        <n v="2800"/>
        <n v="1800"/>
        <n v="4600"/>
        <n v="3000"/>
        <n v="2000"/>
        <n v="4900"/>
        <n v="3200"/>
        <n v="2300"/>
        <n v="5100"/>
        <n v="3500"/>
        <n v="2600"/>
        <n v="5600"/>
        <n v="3700"/>
        <n v="5500"/>
        <n v="3900"/>
        <n v="5800"/>
        <n v="4200"/>
        <n v="3300"/>
      </sharedItems>
    </cacheField>
    <cacheField name="Deaths" numFmtId="0">
      <sharedItems containsSemiMixedTypes="0" containsString="0" containsNumber="1" containsInteger="1" minValue="0" maxValue="105" count="16">
        <n v="80"/>
        <n v="50"/>
        <n v="30"/>
        <n v="75"/>
        <n v="55"/>
        <n v="35"/>
        <n v="85"/>
        <n v="60"/>
        <n v="40"/>
        <n v="90"/>
        <n v="65"/>
        <n v="45"/>
        <n v="100"/>
        <n v="70"/>
        <n v="95"/>
        <n v="105"/>
      </sharedItems>
    </cacheField>
    <cacheField name="Active Cases" numFmtId="0">
      <sharedItems containsSemiMixedTypes="0" containsString="0" containsNumber="1" containsInteger="1" minValue="0" maxValue="420" count="19">
        <n v="420"/>
        <n v="150"/>
        <n v="170"/>
        <n v="125"/>
        <n v="145"/>
        <n v="165"/>
        <n v="215"/>
        <n v="240"/>
        <n v="160"/>
        <n v="310"/>
        <n v="235"/>
        <n v="155"/>
        <n v="300"/>
        <n v="230"/>
        <n v="205"/>
        <n v="225"/>
        <n v="295"/>
        <n v="220"/>
        <n v="140"/>
      </sharedItems>
    </cacheField>
    <cacheField name="Tests Conducted" numFmtId="0">
      <sharedItems containsSemiMixedTypes="0" containsString="0" containsNumber="1" containsInteger="1" minValue="0" maxValue="62000" count="20">
        <n v="50000"/>
        <n v="35000"/>
        <n v="25000"/>
        <n v="48000"/>
        <n v="36000"/>
        <n v="26000"/>
        <n v="52000"/>
        <n v="38000"/>
        <n v="28000"/>
        <n v="55000"/>
        <n v="40000"/>
        <n v="30000"/>
        <n v="60000"/>
        <n v="42000"/>
        <n v="32000"/>
        <n v="58000"/>
        <n v="44000"/>
        <n v="34000"/>
        <n v="62000"/>
        <n v="46000"/>
      </sharedItems>
    </cacheField>
    <cacheField name="Recovery Rate" numFmtId="0">
      <sharedItems containsSemiMixedTypes="0" containsString="0" containsNumber="1" minValue="0" maxValue="0.958333333333333" count="15">
        <n v="0.9"/>
        <n v="0.933333333333333"/>
        <n v="0.958333333333333"/>
        <n v="0.9375"/>
        <n v="0.909090909090909"/>
        <n v="0.942307692307692"/>
        <n v="0.914285714285714"/>
        <n v="0.92"/>
        <n v="0.927272727272727"/>
        <n v="0.921052631578947"/>
        <n v="0.928571428571429"/>
        <n v="0.925"/>
        <n v="0.948275862068966"/>
        <n v="0.935483870967742"/>
        <n v="0.942857142857143"/>
      </sharedItems>
    </cacheField>
    <cacheField name="Death Rate" numFmtId="0">
      <sharedItems containsSemiMixedTypes="0" containsString="0" containsNumber="1" minValue="0" maxValue="0.0178571428571429" count="16">
        <n v="0.016"/>
        <n v="0.0166666666666667"/>
        <n v="0.015"/>
        <n v="0.015625"/>
        <n v="0.0171875"/>
        <n v="0.0159090909090909"/>
        <n v="0.0163461538461538"/>
        <n v="0.0171428571428571"/>
        <n v="0.0163636363636364"/>
        <n v="0.0171052631578947"/>
        <n v="0.0160714285714286"/>
        <n v="0.0175"/>
        <n v="0.0163793103448276"/>
        <n v="0.0178571428571429"/>
        <n v="0.0169354838709677"/>
        <n v="0.0177777777777778"/>
      </sharedItems>
    </cacheField>
    <cacheField name="Positivity Rate" numFmtId="0">
      <sharedItems containsSemiMixedTypes="0" containsString="0" containsNumber="1" minValue="0" maxValue="0.1" count="15">
        <n v="0.1"/>
        <n v="0.0857142857142857"/>
        <n v="0.08"/>
        <n v="0.0888888888888889"/>
        <n v="0.0846153846153846"/>
        <n v="0.0921052631578947"/>
        <n v="0.0892857142857143"/>
        <n v="0.095"/>
        <n v="0.0933333333333333"/>
        <n v="0.0952380952380952"/>
        <n v="0.09375"/>
        <n v="0.0954545454545455"/>
        <n v="0.0941176470588235"/>
        <n v="0.0978260869565217"/>
        <n v="0.0972222222222222"/>
      </sharedItems>
    </cacheField>
    <cacheField name="Week Number" numFmtId="0">
      <sharedItems containsSemiMixedTypes="0" containsString="0" containsNumber="1" containsInteger="1" minValue="0" maxValue="27" count="7">
        <n v="1"/>
        <n v="5"/>
        <n v="9"/>
        <n v="14"/>
        <n v="18"/>
        <n v="22"/>
        <n v="2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0"/>
  </r>
  <r>
    <x v="0"/>
    <x v="2"/>
    <x v="2"/>
    <x v="2"/>
    <x v="2"/>
    <x v="2"/>
    <x v="2"/>
    <x v="0"/>
    <x v="2"/>
    <x v="2"/>
    <x v="0"/>
  </r>
  <r>
    <x v="1"/>
    <x v="0"/>
    <x v="3"/>
    <x v="3"/>
    <x v="3"/>
    <x v="3"/>
    <x v="3"/>
    <x v="2"/>
    <x v="3"/>
    <x v="0"/>
    <x v="1"/>
  </r>
  <r>
    <x v="1"/>
    <x v="1"/>
    <x v="4"/>
    <x v="4"/>
    <x v="4"/>
    <x v="4"/>
    <x v="4"/>
    <x v="3"/>
    <x v="4"/>
    <x v="3"/>
    <x v="1"/>
  </r>
  <r>
    <x v="1"/>
    <x v="2"/>
    <x v="5"/>
    <x v="5"/>
    <x v="5"/>
    <x v="5"/>
    <x v="5"/>
    <x v="4"/>
    <x v="5"/>
    <x v="4"/>
    <x v="1"/>
  </r>
  <r>
    <x v="2"/>
    <x v="0"/>
    <x v="6"/>
    <x v="6"/>
    <x v="6"/>
    <x v="6"/>
    <x v="6"/>
    <x v="5"/>
    <x v="6"/>
    <x v="0"/>
    <x v="2"/>
  </r>
  <r>
    <x v="2"/>
    <x v="1"/>
    <x v="7"/>
    <x v="7"/>
    <x v="7"/>
    <x v="7"/>
    <x v="7"/>
    <x v="6"/>
    <x v="7"/>
    <x v="5"/>
    <x v="2"/>
  </r>
  <r>
    <x v="2"/>
    <x v="2"/>
    <x v="8"/>
    <x v="8"/>
    <x v="8"/>
    <x v="8"/>
    <x v="8"/>
    <x v="7"/>
    <x v="0"/>
    <x v="6"/>
    <x v="2"/>
  </r>
  <r>
    <x v="3"/>
    <x v="0"/>
    <x v="9"/>
    <x v="9"/>
    <x v="9"/>
    <x v="9"/>
    <x v="9"/>
    <x v="8"/>
    <x v="8"/>
    <x v="0"/>
    <x v="3"/>
  </r>
  <r>
    <x v="3"/>
    <x v="1"/>
    <x v="10"/>
    <x v="10"/>
    <x v="10"/>
    <x v="10"/>
    <x v="10"/>
    <x v="9"/>
    <x v="9"/>
    <x v="7"/>
    <x v="3"/>
  </r>
  <r>
    <x v="3"/>
    <x v="2"/>
    <x v="11"/>
    <x v="11"/>
    <x v="11"/>
    <x v="11"/>
    <x v="11"/>
    <x v="10"/>
    <x v="10"/>
    <x v="8"/>
    <x v="3"/>
  </r>
  <r>
    <x v="4"/>
    <x v="0"/>
    <x v="12"/>
    <x v="12"/>
    <x v="12"/>
    <x v="12"/>
    <x v="12"/>
    <x v="1"/>
    <x v="1"/>
    <x v="0"/>
    <x v="4"/>
  </r>
  <r>
    <x v="4"/>
    <x v="1"/>
    <x v="13"/>
    <x v="13"/>
    <x v="13"/>
    <x v="13"/>
    <x v="13"/>
    <x v="11"/>
    <x v="11"/>
    <x v="9"/>
    <x v="4"/>
  </r>
  <r>
    <x v="4"/>
    <x v="2"/>
    <x v="1"/>
    <x v="1"/>
    <x v="1"/>
    <x v="1"/>
    <x v="14"/>
    <x v="1"/>
    <x v="1"/>
    <x v="10"/>
    <x v="4"/>
  </r>
  <r>
    <x v="5"/>
    <x v="0"/>
    <x v="14"/>
    <x v="14"/>
    <x v="14"/>
    <x v="14"/>
    <x v="15"/>
    <x v="12"/>
    <x v="12"/>
    <x v="0"/>
    <x v="5"/>
  </r>
  <r>
    <x v="5"/>
    <x v="1"/>
    <x v="15"/>
    <x v="15"/>
    <x v="3"/>
    <x v="15"/>
    <x v="16"/>
    <x v="10"/>
    <x v="13"/>
    <x v="11"/>
    <x v="5"/>
  </r>
  <r>
    <x v="5"/>
    <x v="2"/>
    <x v="4"/>
    <x v="4"/>
    <x v="4"/>
    <x v="4"/>
    <x v="17"/>
    <x v="3"/>
    <x v="4"/>
    <x v="12"/>
    <x v="5"/>
  </r>
  <r>
    <x v="6"/>
    <x v="0"/>
    <x v="16"/>
    <x v="16"/>
    <x v="15"/>
    <x v="16"/>
    <x v="18"/>
    <x v="13"/>
    <x v="14"/>
    <x v="0"/>
    <x v="6"/>
  </r>
  <r>
    <x v="6"/>
    <x v="1"/>
    <x v="17"/>
    <x v="17"/>
    <x v="0"/>
    <x v="17"/>
    <x v="19"/>
    <x v="1"/>
    <x v="15"/>
    <x v="13"/>
    <x v="6"/>
  </r>
  <r>
    <x v="6"/>
    <x v="2"/>
    <x v="7"/>
    <x v="18"/>
    <x v="7"/>
    <x v="18"/>
    <x v="4"/>
    <x v="14"/>
    <x v="7"/>
    <x v="1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1" firstHeaderRow="1" firstDataRow="1" firstDataCol="1"/>
  <pivotFields count="11">
    <pivotField axis="axisRow" compact="0" sortType="descending" showAll="0">
      <items count="8">
        <item x="6"/>
        <item x="5"/>
        <item x="4"/>
        <item x="3"/>
        <item x="2"/>
        <item x="1"/>
        <item x="0"/>
        <item t="default"/>
      </items>
    </pivotField>
    <pivotField compact="0" showAll="0"/>
    <pivotField dataField="1" compact="0" showAll="0">
      <items count="19">
        <item x="2"/>
        <item x="5"/>
        <item x="8"/>
        <item x="11"/>
        <item x="1"/>
        <item x="4"/>
        <item x="7"/>
        <item x="10"/>
        <item x="13"/>
        <item x="15"/>
        <item x="17"/>
        <item x="3"/>
        <item x="0"/>
        <item x="6"/>
        <item x="9"/>
        <item x="14"/>
        <item x="12"/>
        <item x="1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w Cases" fld="2" baseField="0" baseItem="0"/>
  </dataFields>
  <formats count="11">
    <format dxfId="0">
      <pivotArea field="0" type="button" dataOnly="0" labelOnly="1" outline="0" fieldPosition="0"/>
    </format>
    <format dxfId="1">
      <pivotArea dataOnly="0" labelOnly="1" fieldPosition="0">
        <references count="1">
          <reference field="0" count="1">
            <x v="6"/>
          </reference>
        </references>
      </pivotArea>
    </format>
    <format dxfId="2">
      <pivotArea dataOnly="0" labelOnly="1" fieldPosition="0">
        <references count="1">
          <reference field="0" count="1">
            <x v="5"/>
          </reference>
        </references>
      </pivotArea>
    </format>
    <format dxfId="3">
      <pivotArea dataOnly="0" labelOnly="1" fieldPosition="0">
        <references count="1">
          <reference field="0" count="1">
            <x v="4"/>
          </reference>
        </references>
      </pivotArea>
    </format>
    <format dxfId="4">
      <pivotArea dataOnly="0" labelOnly="1" fieldPosition="0">
        <references count="1">
          <reference field="0" count="1">
            <x v="3"/>
          </reference>
        </references>
      </pivotArea>
    </format>
    <format dxfId="5">
      <pivotArea dataOnly="0" labelOnly="1" fieldPosition="0">
        <references count="1">
          <reference field="0" count="1">
            <x v="2"/>
          </reference>
        </references>
      </pivotArea>
    </format>
    <format dxfId="6">
      <pivotArea dataOnly="0" labelOnly="1" fieldPosition="0">
        <references count="1">
          <reference field="0" count="1">
            <x v="1"/>
          </reference>
        </references>
      </pivotArea>
    </format>
    <format dxfId="7">
      <pivotArea dataOnly="0" labelOnly="1" fieldPosition="0">
        <references count="1">
          <reference field="0" count="1">
            <x v="0"/>
          </reference>
        </references>
      </pivotArea>
    </format>
    <format dxfId="8">
      <pivotArea dataOnly="0" labelOnly="1" grandRow="1" fieldPosition="0"/>
    </format>
    <format dxfId="9">
      <pivotArea type="all" dataOnly="0" outline="0" fieldPosition="0"/>
    </format>
    <format dxfId="1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1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ortType="descending" showAll="0">
      <items count="4">
        <item x="0"/>
        <item x="2"/>
        <item x="1"/>
        <item t="default"/>
      </items>
    </pivotField>
    <pivotField dataField="1" compact="0" showAll="0">
      <items count="19">
        <item x="2"/>
        <item x="5"/>
        <item x="8"/>
        <item x="11"/>
        <item x="1"/>
        <item x="4"/>
        <item x="7"/>
        <item x="10"/>
        <item x="13"/>
        <item x="15"/>
        <item x="17"/>
        <item x="3"/>
        <item x="0"/>
        <item x="6"/>
        <item x="9"/>
        <item x="14"/>
        <item x="12"/>
        <item x="1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ew Cases" fld="2" baseField="0" baseItem="0"/>
  </dataFields>
  <formats count="4">
    <format dxfId="11">
      <pivotArea type="all" dataOnly="0" outline="0" fieldPosition="0"/>
    </format>
    <format dxfId="12">
      <pivotArea type="all" dataOnly="0" outline="0" fieldPosition="0"/>
    </format>
    <format dxfId="13">
      <pivotArea type="all" dataOnly="0" outline="0" fieldPosition="0"/>
    </format>
    <format dxfId="1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1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">
        <item x="0"/>
        <item x="4"/>
        <item x="6"/>
        <item x="7"/>
        <item x="9"/>
        <item x="11"/>
        <item x="8"/>
        <item x="10"/>
        <item x="1"/>
        <item x="13"/>
        <item x="3"/>
        <item x="5"/>
        <item x="14"/>
        <item x="12"/>
        <item x="2"/>
        <item t="default"/>
      </items>
    </pivotField>
    <pivotField compact="0" showAll="0"/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covery Rate" fld="7" baseField="0" baseItem="0"/>
  </dataFields>
  <formats count="5">
    <format dxfId="15">
      <pivotArea collapsedLevelsAreSubtotals="1" fieldPosition="0">
        <references count="1">
          <reference field="1" count="1" selected="0">
            <x v="0"/>
          </reference>
        </references>
      </pivotArea>
    </format>
    <format dxfId="16">
      <pivotArea dataOnly="0" axis="axisValues" fieldPosition="0"/>
    </format>
    <format dxfId="17">
      <pivotArea collapsedLevelsAreSubtotals="1" fieldPosition="0"/>
    </format>
    <format dxfId="18">
      <pivotArea type="all" dataOnly="0" outline="0" fieldPosition="0"/>
    </format>
    <format dxfId="19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1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7">
        <item x="2"/>
        <item x="3"/>
        <item x="5"/>
        <item x="0"/>
        <item x="10"/>
        <item x="6"/>
        <item x="8"/>
        <item x="12"/>
        <item x="1"/>
        <item x="14"/>
        <item x="9"/>
        <item x="7"/>
        <item x="4"/>
        <item x="11"/>
        <item x="15"/>
        <item x="13"/>
        <item t="default"/>
      </items>
    </pivotField>
    <pivotField compact="0" showAll="0"/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Death Rate" fld="8" baseField="0" baseItem="0"/>
  </dataFields>
  <formats count="5">
    <format dxfId="20">
      <pivotArea dataOnly="0" axis="axisValues" fieldPosition="0"/>
    </format>
    <format dxfId="21">
      <pivotArea collapsedLevelsAreSubtotals="1" fieldPosition="0"/>
    </format>
    <format dxfId="22">
      <pivotArea type="all" dataOnly="0" outline="0" fieldPosition="0"/>
    </format>
    <format dxfId="23">
      <pivotArea type="all" dataOnly="0" outline="0" fieldPosition="0"/>
    </format>
    <format dxfId="24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1" firstHeaderRow="1" firstDataRow="1" firstDataCol="1"/>
  <pivotFields count="11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/>
    <pivotField dataField="1" compact="0" showAll="0">
      <items count="19">
        <item x="2"/>
        <item x="5"/>
        <item x="8"/>
        <item x="11"/>
        <item x="1"/>
        <item x="4"/>
        <item x="7"/>
        <item x="10"/>
        <item x="13"/>
        <item x="15"/>
        <item x="17"/>
        <item x="3"/>
        <item x="0"/>
        <item x="6"/>
        <item x="9"/>
        <item x="14"/>
        <item x="12"/>
        <item x="1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ortType="descending" showAll="0">
      <items count="8">
        <item x="6"/>
        <item x="5"/>
        <item x="4"/>
        <item x="3"/>
        <item x="2"/>
        <item x="1"/>
        <item x="0"/>
        <item t="default"/>
      </items>
    </pivotField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New Cases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7" firstHeaderRow="1" firstDataRow="1" firstDataCol="1"/>
  <pivotFields count="11"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6">
        <item x="2"/>
        <item x="4"/>
        <item x="1"/>
        <item x="3"/>
        <item x="6"/>
        <item x="5"/>
        <item x="8"/>
        <item x="10"/>
        <item x="12"/>
        <item x="7"/>
        <item x="9"/>
        <item x="11"/>
        <item x="14"/>
        <item x="13"/>
        <item x="0"/>
        <item t="default"/>
      </items>
    </pivotField>
    <pivotField compact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ositivity Rate" fld="9" baseField="0" baseItem="0"/>
  </dataFields>
  <formats count="2">
    <format dxfId="25">
      <pivotArea dataOnly="0" axis="axisValues" fieldPosition="0"/>
    </format>
    <format dxfId="26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M25" sqref="M25"/>
    </sheetView>
  </sheetViews>
  <sheetFormatPr defaultColWidth="8.88888888888889" defaultRowHeight="14.4" outlineLevelCol="1"/>
  <cols>
    <col min="1" max="1" width="11.6666666666667" style="18"/>
    <col min="2" max="2" width="17.8888888888889"/>
  </cols>
  <sheetData>
    <row r="3" spans="1:2">
      <c r="A3" s="19" t="s">
        <v>0</v>
      </c>
      <c r="B3" s="15" t="s">
        <v>1</v>
      </c>
    </row>
    <row r="4" spans="1:2">
      <c r="A4" s="19">
        <v>45474</v>
      </c>
      <c r="B4" s="15">
        <v>14200</v>
      </c>
    </row>
    <row r="5" spans="1:2">
      <c r="A5" s="19">
        <v>45444</v>
      </c>
      <c r="B5" s="15">
        <v>13200</v>
      </c>
    </row>
    <row r="6" spans="1:2">
      <c r="A6" s="19">
        <v>45413</v>
      </c>
      <c r="B6" s="15">
        <v>13000</v>
      </c>
    </row>
    <row r="7" spans="1:2">
      <c r="A7" s="19">
        <v>45383</v>
      </c>
      <c r="B7" s="15">
        <v>12100</v>
      </c>
    </row>
    <row r="8" spans="1:2">
      <c r="A8" s="19">
        <v>45352</v>
      </c>
      <c r="B8" s="15">
        <v>11200</v>
      </c>
    </row>
    <row r="9" spans="1:2">
      <c r="A9" s="19">
        <v>45323</v>
      </c>
      <c r="B9" s="15">
        <v>10200</v>
      </c>
    </row>
    <row r="10" spans="1:2">
      <c r="A10" s="19">
        <v>45292</v>
      </c>
      <c r="B10" s="15">
        <v>10000</v>
      </c>
    </row>
    <row r="11" spans="1:2">
      <c r="A11" s="19" t="s">
        <v>2</v>
      </c>
      <c r="B11" s="15">
        <v>83900</v>
      </c>
    </row>
  </sheetData>
  <conditionalFormatting sqref="B4:B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L23" sqref="L23"/>
    </sheetView>
  </sheetViews>
  <sheetFormatPr defaultColWidth="8.88888888888889" defaultRowHeight="14.4" outlineLevelRow="6" outlineLevelCol="1"/>
  <cols>
    <col min="1" max="1" width="12.4444444444444"/>
    <col min="2" max="2" width="17.8888888888889"/>
  </cols>
  <sheetData>
    <row r="3" ht="15.6" spans="1:2">
      <c r="A3" s="17" t="s">
        <v>3</v>
      </c>
      <c r="B3" s="17" t="s">
        <v>1</v>
      </c>
    </row>
    <row r="4" ht="15.6" spans="1:2">
      <c r="A4" s="17" t="s">
        <v>4</v>
      </c>
      <c r="B4" s="17">
        <v>38500</v>
      </c>
    </row>
    <row r="5" ht="15.6" spans="1:2">
      <c r="A5" s="17" t="s">
        <v>5</v>
      </c>
      <c r="B5" s="17">
        <v>19200</v>
      </c>
    </row>
    <row r="6" ht="15.6" spans="1:2">
      <c r="A6" s="17" t="s">
        <v>6</v>
      </c>
      <c r="B6" s="17">
        <v>26200</v>
      </c>
    </row>
    <row r="7" ht="15.6" spans="1:2">
      <c r="A7" s="17" t="s">
        <v>2</v>
      </c>
      <c r="B7" s="17">
        <v>83900</v>
      </c>
    </row>
  </sheetData>
  <conditionalFormatting sqref="B4:B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O17" sqref="O17"/>
    </sheetView>
  </sheetViews>
  <sheetFormatPr defaultColWidth="8.88888888888889" defaultRowHeight="14.4" outlineLevelRow="6" outlineLevelCol="1"/>
  <cols>
    <col min="1" max="1" width="12.4444444444444"/>
    <col min="2" max="2" width="21.4444444444444" style="14"/>
  </cols>
  <sheetData>
    <row r="3" spans="1:2">
      <c r="A3" s="15" t="s">
        <v>3</v>
      </c>
      <c r="B3" s="16" t="s">
        <v>7</v>
      </c>
    </row>
    <row r="4" spans="1:2">
      <c r="A4" s="15" t="s">
        <v>6</v>
      </c>
      <c r="B4" s="16">
        <v>6.49307644110276</v>
      </c>
    </row>
    <row r="5" spans="1:2">
      <c r="A5" s="15" t="s">
        <v>5</v>
      </c>
      <c r="B5" s="16">
        <v>6.47135281385281</v>
      </c>
    </row>
    <row r="6" spans="1:2">
      <c r="A6" s="15" t="s">
        <v>4</v>
      </c>
      <c r="B6" s="16">
        <v>6.54500681928379</v>
      </c>
    </row>
    <row r="7" spans="1:2">
      <c r="A7" s="15" t="s">
        <v>2</v>
      </c>
      <c r="B7" s="16">
        <v>19.5094360742394</v>
      </c>
    </row>
  </sheetData>
  <conditionalFormatting sqref="B4:B6">
    <cfRule type="iconSet" priority="1">
      <iconSet iconSet="3ArrowsGray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tabSelected="1" workbookViewId="0">
      <selection activeCell="B17" sqref="B17"/>
    </sheetView>
  </sheetViews>
  <sheetFormatPr defaultColWidth="8.88888888888889" defaultRowHeight="14.4" outlineLevelRow="6" outlineLevelCol="1"/>
  <cols>
    <col min="1" max="1" width="13.5555555555556" customWidth="1"/>
    <col min="2" max="2" width="18.2222222222222" style="10"/>
  </cols>
  <sheetData>
    <row r="3" ht="15.6" spans="1:2">
      <c r="A3" s="11" t="s">
        <v>3</v>
      </c>
      <c r="B3" s="12" t="s">
        <v>8</v>
      </c>
    </row>
    <row r="4" ht="15.6" spans="1:2">
      <c r="A4" s="11" t="s">
        <v>6</v>
      </c>
      <c r="B4" s="13">
        <v>0.121237207602339</v>
      </c>
    </row>
    <row r="5" ht="15.6" spans="1:2">
      <c r="A5" s="11" t="s">
        <v>5</v>
      </c>
      <c r="B5" s="13">
        <v>0.113977543290043</v>
      </c>
    </row>
    <row r="6" ht="15.6" spans="1:2">
      <c r="A6" s="11" t="s">
        <v>4</v>
      </c>
      <c r="B6" s="13">
        <v>0.114316251092252</v>
      </c>
    </row>
    <row r="7" ht="15.6" spans="1:2">
      <c r="A7" s="11" t="s">
        <v>2</v>
      </c>
      <c r="B7" s="13">
        <v>0.349531001984635</v>
      </c>
    </row>
  </sheetData>
  <conditionalFormatting sqref="B4:B6">
    <cfRule type="iconSet" priority="1">
      <iconSet iconSet="3Arrow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1"/>
  <sheetViews>
    <sheetView workbookViewId="0">
      <selection activeCell="N22" sqref="N22"/>
    </sheetView>
  </sheetViews>
  <sheetFormatPr defaultColWidth="8.88888888888889" defaultRowHeight="14.4" outlineLevelCol="1"/>
  <cols>
    <col min="1" max="1" width="16.2222222222222"/>
    <col min="2" max="2" width="17.8888888888889"/>
  </cols>
  <sheetData>
    <row r="3" spans="1:2">
      <c r="A3" t="s">
        <v>9</v>
      </c>
      <c r="B3" t="s">
        <v>1</v>
      </c>
    </row>
    <row r="4" spans="1:2">
      <c r="A4">
        <v>27</v>
      </c>
      <c r="B4">
        <v>14200</v>
      </c>
    </row>
    <row r="5" spans="1:2">
      <c r="A5">
        <v>22</v>
      </c>
      <c r="B5">
        <v>13200</v>
      </c>
    </row>
    <row r="6" spans="1:2">
      <c r="A6">
        <v>18</v>
      </c>
      <c r="B6">
        <v>13000</v>
      </c>
    </row>
    <row r="7" spans="1:2">
      <c r="A7">
        <v>14</v>
      </c>
      <c r="B7">
        <v>12100</v>
      </c>
    </row>
    <row r="8" spans="1:2">
      <c r="A8">
        <v>9</v>
      </c>
      <c r="B8">
        <v>11200</v>
      </c>
    </row>
    <row r="9" spans="1:2">
      <c r="A9">
        <v>5</v>
      </c>
      <c r="B9">
        <v>10200</v>
      </c>
    </row>
    <row r="10" spans="1:2">
      <c r="A10">
        <v>1</v>
      </c>
      <c r="B10">
        <v>10000</v>
      </c>
    </row>
    <row r="11" spans="1:2">
      <c r="A11" t="s">
        <v>2</v>
      </c>
      <c r="B11">
        <v>83900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M21" sqref="M21"/>
    </sheetView>
  </sheetViews>
  <sheetFormatPr defaultColWidth="8.88888888888889" defaultRowHeight="14.4" outlineLevelRow="6" outlineLevelCol="1"/>
  <cols>
    <col min="1" max="1" width="12.4444444444444"/>
    <col min="2" max="2" width="21.2222222222222" style="10"/>
  </cols>
  <sheetData>
    <row r="3" spans="1:2">
      <c r="A3" t="s">
        <v>3</v>
      </c>
      <c r="B3" s="10" t="s">
        <v>10</v>
      </c>
    </row>
    <row r="4" spans="1:2">
      <c r="A4" t="s">
        <v>6</v>
      </c>
      <c r="B4" s="10">
        <v>0.650227165410232</v>
      </c>
    </row>
    <row r="5" spans="1:2">
      <c r="A5" t="s">
        <v>5</v>
      </c>
      <c r="B5" s="10">
        <v>0.632324301515478</v>
      </c>
    </row>
    <row r="6" spans="1:2">
      <c r="A6" t="s">
        <v>4</v>
      </c>
      <c r="B6" s="10">
        <v>0.7</v>
      </c>
    </row>
    <row r="7" spans="1:2">
      <c r="A7" t="s">
        <v>2</v>
      </c>
      <c r="B7" s="10">
        <v>1.98255146692571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2"/>
  <sheetViews>
    <sheetView topLeftCell="B1" workbookViewId="0">
      <selection activeCell="F25" sqref="F25"/>
    </sheetView>
  </sheetViews>
  <sheetFormatPr defaultColWidth="8.88888888888889" defaultRowHeight="14.4"/>
  <cols>
    <col min="1" max="1" width="9.22222222222222" style="4"/>
    <col min="2" max="2" width="18.8888888888889" style="5" customWidth="1"/>
    <col min="3" max="3" width="14.2222222222222" style="5" customWidth="1"/>
    <col min="4" max="4" width="17.4444444444444" style="5" customWidth="1"/>
    <col min="5" max="5" width="13" style="5" customWidth="1"/>
    <col min="6" max="6" width="14.2222222222222" style="5" customWidth="1"/>
    <col min="7" max="7" width="18.3333333333333" style="5" customWidth="1"/>
    <col min="8" max="8" width="15.6666666666667" style="5" customWidth="1"/>
    <col min="9" max="9" width="14" style="5" customWidth="1"/>
    <col min="10" max="10" width="15.3333333333333" style="5" customWidth="1"/>
    <col min="11" max="11" width="15.8888888888889" style="5" customWidth="1"/>
    <col min="12" max="16384" width="8.88888888888889" style="5"/>
  </cols>
  <sheetData>
    <row r="1" ht="15.6" spans="1:12">
      <c r="A1" s="6" t="s">
        <v>0</v>
      </c>
      <c r="B1" s="7" t="s">
        <v>3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7" t="s">
        <v>9</v>
      </c>
      <c r="L1" s="8"/>
    </row>
    <row r="2" spans="1:12">
      <c r="A2" s="4">
        <v>45292</v>
      </c>
      <c r="B2" s="9" t="s">
        <v>4</v>
      </c>
      <c r="C2" s="9">
        <v>5000</v>
      </c>
      <c r="D2" s="9">
        <v>4500</v>
      </c>
      <c r="E2" s="9">
        <v>80</v>
      </c>
      <c r="F2" s="9">
        <v>420</v>
      </c>
      <c r="G2" s="9">
        <v>50000</v>
      </c>
      <c r="H2" s="9">
        <f>D2/C2</f>
        <v>0.9</v>
      </c>
      <c r="I2" s="9">
        <f>E2/C2</f>
        <v>0.016</v>
      </c>
      <c r="J2" s="9">
        <f>C2/G2</f>
        <v>0.1</v>
      </c>
      <c r="K2" s="9">
        <f>WEEKNUM(A2)</f>
        <v>1</v>
      </c>
    </row>
    <row r="3" spans="1:12">
      <c r="A3" s="4">
        <v>45292</v>
      </c>
      <c r="B3" s="9" t="s">
        <v>6</v>
      </c>
      <c r="C3" s="9">
        <v>3000</v>
      </c>
      <c r="D3" s="9">
        <v>2800</v>
      </c>
      <c r="E3" s="9">
        <v>50</v>
      </c>
      <c r="F3" s="9">
        <v>150</v>
      </c>
      <c r="G3" s="9">
        <v>35000</v>
      </c>
      <c r="H3" s="9">
        <f t="shared" ref="H3:H22" si="0">D3/C3</f>
        <v>0.933333333333333</v>
      </c>
      <c r="I3" s="9">
        <f t="shared" ref="I3:I22" si="1">E3/C3</f>
        <v>0.0166666666666667</v>
      </c>
      <c r="J3" s="9">
        <f t="shared" ref="J3:J22" si="2">C3/G3</f>
        <v>0.0857142857142857</v>
      </c>
      <c r="K3" s="9">
        <f t="shared" ref="K3:K22" si="3">WEEKNUM(A3)</f>
        <v>1</v>
      </c>
    </row>
    <row r="4" spans="1:12">
      <c r="A4" s="4">
        <v>45292</v>
      </c>
      <c r="B4" s="9" t="s">
        <v>5</v>
      </c>
      <c r="C4" s="9">
        <v>2000</v>
      </c>
      <c r="D4" s="9">
        <v>1800</v>
      </c>
      <c r="E4" s="9">
        <v>30</v>
      </c>
      <c r="F4" s="9">
        <v>170</v>
      </c>
      <c r="G4" s="9">
        <v>25000</v>
      </c>
      <c r="H4" s="9">
        <f t="shared" si="0"/>
        <v>0.9</v>
      </c>
      <c r="I4" s="9">
        <f t="shared" si="1"/>
        <v>0.015</v>
      </c>
      <c r="J4" s="9">
        <f t="shared" si="2"/>
        <v>0.08</v>
      </c>
      <c r="K4" s="9">
        <f t="shared" si="3"/>
        <v>1</v>
      </c>
    </row>
    <row r="5" spans="1:12">
      <c r="A5" s="4">
        <v>45323</v>
      </c>
      <c r="B5" s="9" t="s">
        <v>4</v>
      </c>
      <c r="C5" s="9">
        <v>4800</v>
      </c>
      <c r="D5" s="9">
        <v>4600</v>
      </c>
      <c r="E5" s="9">
        <v>75</v>
      </c>
      <c r="F5" s="9">
        <v>125</v>
      </c>
      <c r="G5" s="9">
        <v>48000</v>
      </c>
      <c r="H5" s="9">
        <f t="shared" si="0"/>
        <v>0.958333333333333</v>
      </c>
      <c r="I5" s="9">
        <f t="shared" si="1"/>
        <v>0.015625</v>
      </c>
      <c r="J5" s="9">
        <f t="shared" si="2"/>
        <v>0.1</v>
      </c>
      <c r="K5" s="9">
        <f t="shared" si="3"/>
        <v>5</v>
      </c>
    </row>
    <row r="6" spans="1:12">
      <c r="A6" s="4">
        <v>45323</v>
      </c>
      <c r="B6" s="9" t="s">
        <v>6</v>
      </c>
      <c r="C6" s="9">
        <v>3200</v>
      </c>
      <c r="D6" s="9">
        <v>3000</v>
      </c>
      <c r="E6" s="9">
        <v>55</v>
      </c>
      <c r="F6" s="9">
        <v>145</v>
      </c>
      <c r="G6" s="9">
        <v>36000</v>
      </c>
      <c r="H6" s="9">
        <f t="shared" si="0"/>
        <v>0.9375</v>
      </c>
      <c r="I6" s="9">
        <f t="shared" si="1"/>
        <v>0.0171875</v>
      </c>
      <c r="J6" s="9">
        <f t="shared" si="2"/>
        <v>0.0888888888888889</v>
      </c>
      <c r="K6" s="9">
        <f t="shared" si="3"/>
        <v>5</v>
      </c>
    </row>
    <row r="7" spans="1:12">
      <c r="A7" s="4">
        <v>45323</v>
      </c>
      <c r="B7" s="9" t="s">
        <v>5</v>
      </c>
      <c r="C7" s="9">
        <v>2200</v>
      </c>
      <c r="D7" s="9">
        <v>2000</v>
      </c>
      <c r="E7" s="9">
        <v>35</v>
      </c>
      <c r="F7" s="9">
        <v>165</v>
      </c>
      <c r="G7" s="9">
        <v>26000</v>
      </c>
      <c r="H7" s="9">
        <f t="shared" si="0"/>
        <v>0.909090909090909</v>
      </c>
      <c r="I7" s="9">
        <f t="shared" si="1"/>
        <v>0.0159090909090909</v>
      </c>
      <c r="J7" s="9">
        <f t="shared" si="2"/>
        <v>0.0846153846153846</v>
      </c>
      <c r="K7" s="9">
        <f t="shared" si="3"/>
        <v>5</v>
      </c>
    </row>
    <row r="8" spans="1:12">
      <c r="A8" s="4">
        <v>45352</v>
      </c>
      <c r="B8" s="9" t="s">
        <v>4</v>
      </c>
      <c r="C8" s="9">
        <v>5200</v>
      </c>
      <c r="D8" s="9">
        <v>4900</v>
      </c>
      <c r="E8" s="9">
        <v>85</v>
      </c>
      <c r="F8" s="9">
        <v>215</v>
      </c>
      <c r="G8" s="9">
        <v>52000</v>
      </c>
      <c r="H8" s="9">
        <f t="shared" si="0"/>
        <v>0.942307692307692</v>
      </c>
      <c r="I8" s="9">
        <f t="shared" si="1"/>
        <v>0.0163461538461538</v>
      </c>
      <c r="J8" s="9">
        <f t="shared" si="2"/>
        <v>0.1</v>
      </c>
      <c r="K8" s="9">
        <f t="shared" si="3"/>
        <v>9</v>
      </c>
    </row>
    <row r="9" spans="1:12">
      <c r="A9" s="4">
        <v>45352</v>
      </c>
      <c r="B9" s="9" t="s">
        <v>6</v>
      </c>
      <c r="C9" s="9">
        <v>3500</v>
      </c>
      <c r="D9" s="9">
        <v>3200</v>
      </c>
      <c r="E9" s="9">
        <v>60</v>
      </c>
      <c r="F9" s="9">
        <v>240</v>
      </c>
      <c r="G9" s="9">
        <v>38000</v>
      </c>
      <c r="H9" s="9">
        <f t="shared" si="0"/>
        <v>0.914285714285714</v>
      </c>
      <c r="I9" s="9">
        <f t="shared" si="1"/>
        <v>0.0171428571428571</v>
      </c>
      <c r="J9" s="9">
        <f t="shared" si="2"/>
        <v>0.0921052631578947</v>
      </c>
      <c r="K9" s="9">
        <f t="shared" si="3"/>
        <v>9</v>
      </c>
    </row>
    <row r="10" spans="1:12">
      <c r="A10" s="4">
        <v>45352</v>
      </c>
      <c r="B10" s="9" t="s">
        <v>5</v>
      </c>
      <c r="C10" s="9">
        <v>2500</v>
      </c>
      <c r="D10" s="9">
        <v>2300</v>
      </c>
      <c r="E10" s="9">
        <v>40</v>
      </c>
      <c r="F10" s="9">
        <v>160</v>
      </c>
      <c r="G10" s="9">
        <v>28000</v>
      </c>
      <c r="H10" s="9">
        <f t="shared" si="0"/>
        <v>0.92</v>
      </c>
      <c r="I10" s="9">
        <f t="shared" si="1"/>
        <v>0.016</v>
      </c>
      <c r="J10" s="9">
        <f t="shared" si="2"/>
        <v>0.0892857142857143</v>
      </c>
      <c r="K10" s="9">
        <f t="shared" si="3"/>
        <v>9</v>
      </c>
    </row>
    <row r="11" spans="1:12">
      <c r="A11" s="4">
        <v>45383</v>
      </c>
      <c r="B11" s="9" t="s">
        <v>4</v>
      </c>
      <c r="C11" s="9">
        <v>5500</v>
      </c>
      <c r="D11" s="9">
        <v>5100</v>
      </c>
      <c r="E11" s="9">
        <v>90</v>
      </c>
      <c r="F11" s="9">
        <v>310</v>
      </c>
      <c r="G11" s="9">
        <v>55000</v>
      </c>
      <c r="H11" s="9">
        <f t="shared" si="0"/>
        <v>0.927272727272727</v>
      </c>
      <c r="I11" s="9">
        <f t="shared" si="1"/>
        <v>0.0163636363636364</v>
      </c>
      <c r="J11" s="9">
        <f t="shared" si="2"/>
        <v>0.1</v>
      </c>
      <c r="K11" s="9">
        <f t="shared" si="3"/>
        <v>14</v>
      </c>
    </row>
    <row r="12" spans="1:12">
      <c r="A12" s="4">
        <v>45383</v>
      </c>
      <c r="B12" s="9" t="s">
        <v>6</v>
      </c>
      <c r="C12" s="9">
        <v>3800</v>
      </c>
      <c r="D12" s="9">
        <v>3500</v>
      </c>
      <c r="E12" s="9">
        <v>65</v>
      </c>
      <c r="F12" s="9">
        <v>235</v>
      </c>
      <c r="G12" s="9">
        <v>40000</v>
      </c>
      <c r="H12" s="9">
        <f t="shared" si="0"/>
        <v>0.921052631578947</v>
      </c>
      <c r="I12" s="9">
        <f t="shared" si="1"/>
        <v>0.0171052631578947</v>
      </c>
      <c r="J12" s="9">
        <f t="shared" si="2"/>
        <v>0.095</v>
      </c>
      <c r="K12" s="9">
        <f t="shared" si="3"/>
        <v>14</v>
      </c>
    </row>
    <row r="13" spans="1:12">
      <c r="A13" s="4">
        <v>45383</v>
      </c>
      <c r="B13" s="9" t="s">
        <v>5</v>
      </c>
      <c r="C13" s="9">
        <v>2800</v>
      </c>
      <c r="D13" s="9">
        <v>2600</v>
      </c>
      <c r="E13" s="9">
        <v>45</v>
      </c>
      <c r="F13" s="9">
        <v>155</v>
      </c>
      <c r="G13" s="9">
        <v>30000</v>
      </c>
      <c r="H13" s="9">
        <f t="shared" si="0"/>
        <v>0.928571428571429</v>
      </c>
      <c r="I13" s="9">
        <f t="shared" si="1"/>
        <v>0.0160714285714286</v>
      </c>
      <c r="J13" s="9">
        <f t="shared" si="2"/>
        <v>0.0933333333333333</v>
      </c>
      <c r="K13" s="9">
        <f t="shared" si="3"/>
        <v>14</v>
      </c>
    </row>
    <row r="14" spans="1:12">
      <c r="A14" s="4">
        <v>45413</v>
      </c>
      <c r="B14" s="9" t="s">
        <v>4</v>
      </c>
      <c r="C14" s="9">
        <v>6000</v>
      </c>
      <c r="D14" s="9">
        <v>5600</v>
      </c>
      <c r="E14" s="9">
        <v>100</v>
      </c>
      <c r="F14" s="9">
        <v>300</v>
      </c>
      <c r="G14" s="9">
        <v>60000</v>
      </c>
      <c r="H14" s="9">
        <f t="shared" si="0"/>
        <v>0.933333333333333</v>
      </c>
      <c r="I14" s="9">
        <f t="shared" si="1"/>
        <v>0.0166666666666667</v>
      </c>
      <c r="J14" s="9">
        <f t="shared" si="2"/>
        <v>0.1</v>
      </c>
      <c r="K14" s="9">
        <f t="shared" si="3"/>
        <v>18</v>
      </c>
    </row>
    <row r="15" spans="1:12">
      <c r="A15" s="4">
        <v>45413</v>
      </c>
      <c r="B15" s="9" t="s">
        <v>6</v>
      </c>
      <c r="C15" s="9">
        <v>4000</v>
      </c>
      <c r="D15" s="9">
        <v>3700</v>
      </c>
      <c r="E15" s="9">
        <v>70</v>
      </c>
      <c r="F15" s="9">
        <v>230</v>
      </c>
      <c r="G15" s="9">
        <v>42000</v>
      </c>
      <c r="H15" s="9">
        <f t="shared" si="0"/>
        <v>0.925</v>
      </c>
      <c r="I15" s="9">
        <f t="shared" si="1"/>
        <v>0.0175</v>
      </c>
      <c r="J15" s="9">
        <f t="shared" si="2"/>
        <v>0.0952380952380952</v>
      </c>
      <c r="K15" s="9">
        <f t="shared" si="3"/>
        <v>18</v>
      </c>
    </row>
    <row r="16" spans="1:12">
      <c r="A16" s="4">
        <v>45413</v>
      </c>
      <c r="B16" s="9" t="s">
        <v>5</v>
      </c>
      <c r="C16" s="9">
        <v>3000</v>
      </c>
      <c r="D16" s="9">
        <v>2800</v>
      </c>
      <c r="E16" s="9">
        <v>50</v>
      </c>
      <c r="F16" s="9">
        <v>150</v>
      </c>
      <c r="G16" s="9">
        <v>32000</v>
      </c>
      <c r="H16" s="9">
        <f t="shared" si="0"/>
        <v>0.933333333333333</v>
      </c>
      <c r="I16" s="9">
        <f t="shared" si="1"/>
        <v>0.0166666666666667</v>
      </c>
      <c r="J16" s="9">
        <f t="shared" si="2"/>
        <v>0.09375</v>
      </c>
      <c r="K16" s="9">
        <f t="shared" si="3"/>
        <v>18</v>
      </c>
    </row>
    <row r="17" spans="1:11">
      <c r="A17" s="4">
        <v>45444</v>
      </c>
      <c r="B17" s="9" t="s">
        <v>4</v>
      </c>
      <c r="C17" s="9">
        <v>5800</v>
      </c>
      <c r="D17" s="9">
        <v>5500</v>
      </c>
      <c r="E17" s="9">
        <v>95</v>
      </c>
      <c r="F17" s="9">
        <v>205</v>
      </c>
      <c r="G17" s="9">
        <v>58000</v>
      </c>
      <c r="H17" s="9">
        <f t="shared" si="0"/>
        <v>0.948275862068966</v>
      </c>
      <c r="I17" s="9">
        <f t="shared" si="1"/>
        <v>0.0163793103448276</v>
      </c>
      <c r="J17" s="9">
        <f t="shared" si="2"/>
        <v>0.1</v>
      </c>
      <c r="K17" s="9">
        <f t="shared" si="3"/>
        <v>22</v>
      </c>
    </row>
    <row r="18" spans="1:11">
      <c r="A18" s="4">
        <v>45444</v>
      </c>
      <c r="B18" s="9" t="s">
        <v>6</v>
      </c>
      <c r="C18" s="9">
        <v>4200</v>
      </c>
      <c r="D18" s="9">
        <v>3900</v>
      </c>
      <c r="E18" s="9">
        <v>75</v>
      </c>
      <c r="F18" s="9">
        <v>225</v>
      </c>
      <c r="G18" s="9">
        <v>44000</v>
      </c>
      <c r="H18" s="9">
        <f t="shared" si="0"/>
        <v>0.928571428571429</v>
      </c>
      <c r="I18" s="9">
        <f t="shared" si="1"/>
        <v>0.0178571428571429</v>
      </c>
      <c r="J18" s="9">
        <f t="shared" si="2"/>
        <v>0.0954545454545455</v>
      </c>
      <c r="K18" s="9">
        <f t="shared" si="3"/>
        <v>22</v>
      </c>
    </row>
    <row r="19" spans="1:11">
      <c r="A19" s="4">
        <v>45444</v>
      </c>
      <c r="B19" s="9" t="s">
        <v>5</v>
      </c>
      <c r="C19" s="9">
        <v>3200</v>
      </c>
      <c r="D19" s="9">
        <v>3000</v>
      </c>
      <c r="E19" s="9">
        <v>55</v>
      </c>
      <c r="F19" s="9">
        <v>145</v>
      </c>
      <c r="G19" s="9">
        <v>34000</v>
      </c>
      <c r="H19" s="9">
        <f t="shared" si="0"/>
        <v>0.9375</v>
      </c>
      <c r="I19" s="9">
        <f t="shared" si="1"/>
        <v>0.0171875</v>
      </c>
      <c r="J19" s="9">
        <f t="shared" si="2"/>
        <v>0.0941176470588235</v>
      </c>
      <c r="K19" s="9">
        <f t="shared" si="3"/>
        <v>22</v>
      </c>
    </row>
    <row r="20" spans="1:11">
      <c r="A20" s="4">
        <v>45474</v>
      </c>
      <c r="B20" s="9" t="s">
        <v>4</v>
      </c>
      <c r="C20" s="9">
        <v>6200</v>
      </c>
      <c r="D20" s="9">
        <v>5800</v>
      </c>
      <c r="E20" s="9">
        <v>105</v>
      </c>
      <c r="F20" s="9">
        <v>295</v>
      </c>
      <c r="G20" s="9">
        <v>62000</v>
      </c>
      <c r="H20" s="9">
        <f t="shared" si="0"/>
        <v>0.935483870967742</v>
      </c>
      <c r="I20" s="9">
        <f t="shared" si="1"/>
        <v>0.0169354838709677</v>
      </c>
      <c r="J20" s="9">
        <f t="shared" si="2"/>
        <v>0.1</v>
      </c>
      <c r="K20" s="9">
        <f t="shared" si="3"/>
        <v>27</v>
      </c>
    </row>
    <row r="21" spans="1:11">
      <c r="A21" s="4">
        <v>45474</v>
      </c>
      <c r="B21" s="9" t="s">
        <v>6</v>
      </c>
      <c r="C21" s="9">
        <v>4500</v>
      </c>
      <c r="D21" s="9">
        <v>4200</v>
      </c>
      <c r="E21" s="9">
        <v>80</v>
      </c>
      <c r="F21" s="9">
        <v>220</v>
      </c>
      <c r="G21" s="9">
        <v>46000</v>
      </c>
      <c r="H21" s="9">
        <f t="shared" si="0"/>
        <v>0.933333333333333</v>
      </c>
      <c r="I21" s="9">
        <f t="shared" si="1"/>
        <v>0.0177777777777778</v>
      </c>
      <c r="J21" s="9">
        <f t="shared" si="2"/>
        <v>0.0978260869565217</v>
      </c>
      <c r="K21" s="9">
        <f t="shared" si="3"/>
        <v>27</v>
      </c>
    </row>
    <row r="22" spans="1:11">
      <c r="A22" s="4">
        <v>45474</v>
      </c>
      <c r="B22" s="9" t="s">
        <v>5</v>
      </c>
      <c r="C22" s="9">
        <v>3500</v>
      </c>
      <c r="D22" s="9">
        <v>3300</v>
      </c>
      <c r="E22" s="9">
        <v>60</v>
      </c>
      <c r="F22" s="9">
        <v>140</v>
      </c>
      <c r="G22" s="9">
        <v>36000</v>
      </c>
      <c r="H22" s="9">
        <f t="shared" si="0"/>
        <v>0.942857142857143</v>
      </c>
      <c r="I22" s="9">
        <f t="shared" si="1"/>
        <v>0.0171428571428571</v>
      </c>
      <c r="J22" s="9">
        <f t="shared" si="2"/>
        <v>0.0972222222222222</v>
      </c>
      <c r="K22" s="9">
        <f t="shared" si="3"/>
        <v>27</v>
      </c>
    </row>
  </sheetData>
  <conditionalFormatting sqref="C$1:C$104857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ellIs" dxfId="27" priority="4" operator="greaterThan">
      <formula>5000</formula>
    </cfRule>
  </conditionalFormatting>
  <conditionalFormatting sqref="D$1:D$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{a60eeb4c-5659-4cd8-93e1-ee46356d0bc9}</x14:id>
        </ext>
      </extLst>
    </cfRule>
  </conditionalFormatting>
  <conditionalFormatting sqref="F$1:F$1048576">
    <cfRule type="iconSet" priority="1">
      <iconSet iconSet="3Arrows">
        <cfvo type="percent" val="0"/>
        <cfvo type="percent" val="33"/>
        <cfvo type="percent" val="67"/>
      </iconSet>
    </cfRule>
  </conditionalFormatting>
  <conditionalFormatting sqref="G$1:G$104857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{af018d15-53c4-478d-89c1-e70486e5b205}</x14:id>
        </ext>
      </extLst>
    </cfRule>
  </conditionalFormatting>
  <conditionalFormatting sqref="H$1:H$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$1:I$104857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0eeb4c-5659-4cd8-93e1-ee46356d0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D$1:D$1048576</xm:sqref>
        </x14:conditionalFormatting>
        <x14:conditionalFormatting xmlns:xm="http://schemas.microsoft.com/office/excel/2006/main">
          <x14:cfRule type="dataBar" id="{af018d15-53c4-478d-89c1-e70486e5b2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G$1:G$1048576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O27" sqref="O27"/>
    </sheetView>
  </sheetViews>
  <sheetFormatPr defaultColWidth="8.88888888888889" defaultRowHeight="14.4" outlineLevelRow="4" outlineLevelCol="1"/>
  <cols>
    <col min="1" max="1" width="30.5555555555556" customWidth="1"/>
    <col min="2" max="2" width="16.6666666666667" customWidth="1"/>
  </cols>
  <sheetData>
    <row r="1" ht="26" customHeight="1" spans="1:2">
      <c r="A1" s="1" t="s">
        <v>19</v>
      </c>
      <c r="B1" s="2">
        <f>SUM(dataset!C2:C22)</f>
        <v>83900</v>
      </c>
    </row>
    <row r="2" ht="24" customHeight="1" spans="1:2">
      <c r="A2" s="1" t="s">
        <v>20</v>
      </c>
      <c r="B2" s="2">
        <f>SUM(dataset!D2:D22)</f>
        <v>78100</v>
      </c>
    </row>
    <row r="3" ht="24" customHeight="1" spans="1:2">
      <c r="A3" s="1" t="s">
        <v>21</v>
      </c>
      <c r="B3" s="2">
        <f>SUM(dataset!E2:E22)</f>
        <v>1400</v>
      </c>
    </row>
    <row r="4" ht="24" customHeight="1" spans="1:2">
      <c r="A4" s="1" t="s">
        <v>22</v>
      </c>
      <c r="B4" s="3">
        <v>0.929</v>
      </c>
    </row>
    <row r="5" ht="24" customHeight="1" spans="1:2">
      <c r="A5" s="1" t="s">
        <v>23</v>
      </c>
      <c r="B5" s="3">
        <v>0.017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Sheet2</vt:lpstr>
      <vt:lpstr>Sheet3</vt:lpstr>
      <vt:lpstr>Sheet4</vt:lpstr>
      <vt:lpstr>Sheet5</vt:lpstr>
      <vt:lpstr>Sheet6</vt:lpstr>
      <vt:lpstr>Sheet8</vt:lpstr>
      <vt:lpstr>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CD</cp:lastModifiedBy>
  <dcterms:created xsi:type="dcterms:W3CDTF">2026-05-18T13:30:00Z</dcterms:created>
  <dcterms:modified xsi:type="dcterms:W3CDTF">2026-05-19T05:46:18Z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755C6E3DD9404CEE92F00168E6E7816C_11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